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mkar\Desktop\mapup\"/>
    </mc:Choice>
  </mc:AlternateContent>
  <xr:revisionPtr revIDLastSave="0" documentId="13_ncr:1_{0AA0910F-FC24-4767-9C33-34DDD5A7C3E3}" xr6:coauthVersionLast="47" xr6:coauthVersionMax="47" xr10:uidLastSave="{00000000-0000-0000-0000-000000000000}"/>
  <bookViews>
    <workbookView xWindow="-110" yWindow="-110" windowWidth="19420" windowHeight="10300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Columns">Task_5!$B$9:$J$9</definedName>
    <definedName name="ID">Task_5!$M$10:$M$18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Name">Task_5!$N$10:$N$18</definedName>
    <definedName name="Rows">Task_5!$A$10:$A$18</definedName>
    <definedName name="Table_A">Task_5!$B$10:$J$18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sharedStrings.xml><?xml version="1.0" encoding="utf-8"?>
<sst xmlns="http://schemas.openxmlformats.org/spreadsheetml/2006/main" count="332" uniqueCount="187">
  <si>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</si>
  <si>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</si>
  <si>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</si>
  <si>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</si>
  <si>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</si>
  <si>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</si>
  <si>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</si>
  <si>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</si>
  <si>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</si>
  <si>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</si>
  <si>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</si>
  <si>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</si>
  <si>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</si>
  <si>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</si>
  <si>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</si>
  <si>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</si>
  <si>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</si>
  <si>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</si>
  <si>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</si>
  <si>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</si>
  <si>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</si>
  <si>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</si>
  <si>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</si>
  <si>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</si>
  <si>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</si>
  <si>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</si>
  <si>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</si>
  <si>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</si>
  <si>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</si>
  <si>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</si>
  <si>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</si>
  <si>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</si>
  <si>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</si>
  <si>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</si>
  <si>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</si>
  <si>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</si>
  <si>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</si>
  <si>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</si>
  <si>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</si>
  <si>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</si>
  <si>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</si>
  <si>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</si>
  <si>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</si>
  <si>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</si>
  <si>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</si>
  <si>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</si>
  <si>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</si>
  <si>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</si>
  <si>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</si>
  <si>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</si>
  <si>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</si>
  <si>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</si>
  <si>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</si>
  <si>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</si>
  <si>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</si>
  <si>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</si>
  <si>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</si>
  <si>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</si>
  <si>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</si>
  <si>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</si>
  <si>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</si>
  <si>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</si>
  <si>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</si>
  <si>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</si>
  <si>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</si>
  <si>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</si>
  <si>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</si>
  <si>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</si>
  <si>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</si>
  <si>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</si>
  <si>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</si>
  <si>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</si>
  <si>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</si>
  <si>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</si>
  <si>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</si>
  <si>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</si>
  <si>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</si>
  <si>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</si>
  <si>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</si>
  <si>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</si>
  <si>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</si>
  <si>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</si>
  <si>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</si>
  <si>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</si>
  <si>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</si>
  <si>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</si>
  <si>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</si>
  <si>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</si>
  <si>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</si>
  <si>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</si>
  <si>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</si>
  <si>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</si>
  <si>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</si>
  <si>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</si>
  <si>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</si>
  <si>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</si>
  <si>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</si>
  <si>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</si>
  <si>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</si>
  <si>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</si>
  <si>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</si>
  <si>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</si>
  <si>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</si>
  <si>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</si>
  <si>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</si>
  <si>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</si>
  <si>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</si>
  <si>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</si>
  <si>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</si>
  <si>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</si>
  <si>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</si>
  <si>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</si>
  <si>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</si>
  <si>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</si>
  <si>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</si>
  <si>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</si>
  <si>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</si>
  <si>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</si>
  <si>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</si>
  <si>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</si>
  <si>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</si>
  <si>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</si>
  <si>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</si>
  <si>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</si>
  <si>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</si>
  <si>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</si>
  <si>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</si>
  <si>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</si>
  <si>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</si>
  <si>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</si>
  <si>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</si>
  <si>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</si>
  <si>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</si>
  <si>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</si>
  <si>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</si>
  <si>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</si>
  <si>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</si>
  <si>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</si>
  <si>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</si>
  <si>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</si>
  <si>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</si>
  <si>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</si>
  <si>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</si>
  <si>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</si>
  <si>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</si>
  <si>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</si>
  <si>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</si>
  <si>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</si>
  <si>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</si>
  <si>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</si>
  <si>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</si>
  <si>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</si>
  <si>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</si>
  <si>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</si>
  <si>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</si>
  <si>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</si>
  <si>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</si>
  <si>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</si>
  <si>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</si>
  <si>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</si>
  <si>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</si>
  <si>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</si>
  <si>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</si>
  <si>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</si>
  <si>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</si>
  <si>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</si>
  <si>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</si>
  <si>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</si>
  <si>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</si>
  <si>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</si>
  <si>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</si>
  <si>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</si>
  <si>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</si>
  <si>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</si>
  <si>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</si>
  <si>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</si>
  <si>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</si>
  <si>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Named Ranges, XLOOKUP, MATCH, INDEX</t>
  </si>
  <si>
    <t>COUNTIF, SUMIF</t>
  </si>
  <si>
    <t>LEFT, MID, RIGHT</t>
  </si>
  <si>
    <t>LEFT returns the n-leftmost characters of a cell, RIGHT returns the n-rightmost characters of a cell.</t>
  </si>
  <si>
    <t>MID return n-characters after a starting character of a cell</t>
  </si>
  <si>
    <t>I've used COUNTIF to count the number of NA, multiplied it with 20</t>
  </si>
  <si>
    <t>I've used SUMIF to findout the sum of the cells which don’t contain NA.</t>
  </si>
  <si>
    <t>Then I've added both to get final sum</t>
  </si>
  <si>
    <t>I've used Named Ranges to avoid the cell references changing per cell.</t>
  </si>
  <si>
    <t>XLOOKUP  to get the Name of the ID,  MATCH to match the Name with the rows and columns of the Table_A, and INDEX to get the value with corresponding row&amp;column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</si>
</sst>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5" activePane="bottomLeft" state="frozen"/>
      <selection pane="bottomLeft" activeCell="H46" sqref="H46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5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topLeftCell="B1" zoomScaleNormal="100" workbookViewId="0">
      <selection activeCell="B14" sqref="B14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>
        <f>SUMIF(Dataset!H:H,"&gt;20")</f>
        <v>1473.0000000000002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D1" zoomScaleNormal="100" workbookViewId="0">
      <selection activeCell="C7" sqref="C7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_xlfn.XLOOKUP(A6,Dataset!A:A,Dataset!G:G)</f>
        <v>2.7</v>
      </c>
      <c r="C6" s="11">
        <f>_xlfn.XLOOKUP(A6,Dataset!A:A,Dataset!N:N)</f>
        <v>7.6</v>
      </c>
      <c r="D6" s="11">
        <f>_xlfn.XLOOKUP(A6,Dataset!A:A,Dataset!R:R)</f>
        <v>4.2</v>
      </c>
      <c r="E6" s="11">
        <f>_xlfn.XLOOKUP(A6,Dataset!A:A,Dataset!T:T)</f>
        <v>8.9</v>
      </c>
      <c r="F6" s="8">
        <f>_xlfn.XLOOKUP(A6,Dataset!A:A,Dataset!V:V)</f>
        <v>4.2</v>
      </c>
    </row>
    <row r="7" spans="1:7" ht="14.5" x14ac:dyDescent="0.35">
      <c r="A7" s="7" t="s">
        <v>4</v>
      </c>
      <c r="B7" s="11">
        <f>_xlfn.XLOOKUP(A7,Dataset!A:A,Dataset!G:G)</f>
        <v>2.7</v>
      </c>
      <c r="C7" s="11">
        <f>_xlfn.XLOOKUP(A7,Dataset!A:A,Dataset!N:N)</f>
        <v>7.6</v>
      </c>
      <c r="D7" s="11">
        <f>_xlfn.XLOOKUP(A7,Dataset!A:A,Dataset!R:R)</f>
        <v>4.2</v>
      </c>
      <c r="E7" s="11">
        <f>_xlfn.XLOOKUP(A7,Dataset!A:A,Dataset!T:T)</f>
        <v>8.9</v>
      </c>
      <c r="F7" s="8">
        <f>_xlfn.XLOOKUP(A7,Dataset!A:A,Dataset!V:V)</f>
        <v>4.2</v>
      </c>
    </row>
    <row r="8" spans="1:7" ht="14.5" x14ac:dyDescent="0.35">
      <c r="A8" s="7" t="s">
        <v>7</v>
      </c>
      <c r="B8" s="11">
        <f>_xlfn.XLOOKUP(A8,Dataset!A:A,Dataset!G:G)</f>
        <v>3.6</v>
      </c>
      <c r="C8" s="11">
        <f>_xlfn.XLOOKUP(A8,Dataset!A:A,Dataset!N:N)</f>
        <v>11.1</v>
      </c>
      <c r="D8" s="11">
        <f>_xlfn.XLOOKUP(A8,Dataset!A:A,Dataset!R:R)</f>
        <v>5.8</v>
      </c>
      <c r="E8" s="11">
        <f>_xlfn.XLOOKUP(A8,Dataset!A:A,Dataset!T:T)</f>
        <v>12.2</v>
      </c>
      <c r="F8" s="8">
        <f>_xlfn.XLOOKUP(A8,Dataset!A:A,Dataset!V:V)</f>
        <v>5.8</v>
      </c>
    </row>
    <row r="9" spans="1:7" ht="14.5" x14ac:dyDescent="0.35">
      <c r="A9" s="7" t="s">
        <v>8</v>
      </c>
      <c r="B9" s="11">
        <f>_xlfn.XLOOKUP(A9,Dataset!A:A,Dataset!G:G)</f>
        <v>4.9000000000000004</v>
      </c>
      <c r="C9" s="11">
        <f>_xlfn.XLOOKUP(A9,Dataset!A:A,Dataset!N:N)</f>
        <v>13.3</v>
      </c>
      <c r="D9" s="11">
        <f>_xlfn.XLOOKUP(A9,Dataset!A:A,Dataset!R:R)</f>
        <v>8.1</v>
      </c>
      <c r="E9" s="11">
        <f>_xlfn.XLOOKUP(A9,Dataset!A:A,Dataset!T:T)</f>
        <v>17</v>
      </c>
      <c r="F9" s="8">
        <f>_xlfn.XLOOKUP(A9,Dataset!A:A,Dataset!V:V)</f>
        <v>8.1</v>
      </c>
    </row>
    <row r="10" spans="1:7" ht="14.5" x14ac:dyDescent="0.35">
      <c r="A10" s="7" t="s">
        <v>11</v>
      </c>
      <c r="B10" s="11">
        <f>_xlfn.XLOOKUP(A10,Dataset!A:A,Dataset!G:G)</f>
        <v>9.4</v>
      </c>
      <c r="C10" s="11">
        <f>_xlfn.XLOOKUP(A10,Dataset!A:A,Dataset!N:N)</f>
        <v>28.3</v>
      </c>
      <c r="D10" s="11">
        <f>_xlfn.XLOOKUP(A10,Dataset!A:A,Dataset!R:R)</f>
        <v>16.100000000000001</v>
      </c>
      <c r="E10" s="11">
        <f>_xlfn.XLOOKUP(A10,Dataset!A:A,Dataset!T:T)</f>
        <v>32.799999999999997</v>
      </c>
      <c r="F10" s="8">
        <f>_xlfn.XLOOKUP(A10,Dataset!A:A,Dataset!V:V)</f>
        <v>16.100000000000001</v>
      </c>
    </row>
    <row r="11" spans="1:7" ht="14.5" x14ac:dyDescent="0.35">
      <c r="A11" s="7" t="s">
        <v>12</v>
      </c>
      <c r="B11" s="11">
        <f>_xlfn.XLOOKUP(A11,Dataset!A:A,Dataset!G:G)</f>
        <v>11.6</v>
      </c>
      <c r="C11" s="11">
        <f>_xlfn.XLOOKUP(A11,Dataset!A:A,Dataset!N:N)</f>
        <v>35.200000000000003</v>
      </c>
      <c r="D11" s="11">
        <f>_xlfn.XLOOKUP(A11,Dataset!A:A,Dataset!R:R)</f>
        <v>21.3</v>
      </c>
      <c r="E11" s="11">
        <f>_xlfn.XLOOKUP(A11,Dataset!A:A,Dataset!T:T)</f>
        <v>43</v>
      </c>
      <c r="F11" s="8">
        <f>_xlfn.XLOOKUP(A11,Dataset!A:A,Dataset!V:V)</f>
        <v>21.3</v>
      </c>
    </row>
    <row r="12" spans="1:7" ht="14.5" x14ac:dyDescent="0.35">
      <c r="A12" s="7" t="s">
        <v>14</v>
      </c>
      <c r="B12" s="11">
        <f>_xlfn.XLOOKUP(A12,Dataset!A:A,Dataset!G:G)</f>
        <v>18.399999999999999</v>
      </c>
      <c r="C12" s="11">
        <f>_xlfn.XLOOKUP(A12,Dataset!A:A,Dataset!N:N)</f>
        <v>55.6</v>
      </c>
      <c r="D12" s="11">
        <f>_xlfn.XLOOKUP(A12,Dataset!A:A,Dataset!R:R)</f>
        <v>33.799999999999997</v>
      </c>
      <c r="E12" s="11">
        <f>_xlfn.XLOOKUP(A12,Dataset!A:A,Dataset!T:T)</f>
        <v>67.900000000000006</v>
      </c>
      <c r="F12" s="8">
        <f>_xlfn.XLOOKUP(A12,Dataset!A:A,Dataset!V:V)</f>
        <v>33.799999999999997</v>
      </c>
    </row>
    <row r="13" spans="1:7" ht="14.5" x14ac:dyDescent="0.35">
      <c r="A13" s="7" t="s">
        <v>15</v>
      </c>
      <c r="B13" s="11">
        <f>_xlfn.XLOOKUP(A13,Dataset!A:A,Dataset!G:G)</f>
        <v>0</v>
      </c>
      <c r="C13" s="11">
        <f>_xlfn.XLOOKUP(A13,Dataset!A:A,Dataset!N:N)</f>
        <v>0</v>
      </c>
      <c r="D13" s="11">
        <f>_xlfn.XLOOKUP(A13,Dataset!A:A,Dataset!R:R)</f>
        <v>0</v>
      </c>
      <c r="E13" s="11">
        <f>_xlfn.XLOOKUP(A13,Dataset!A:A,Dataset!T:T)</f>
        <v>0</v>
      </c>
      <c r="F13" s="8">
        <f>_xlfn.XLOOKUP(A13,Dataset!A:A,Dataset!V:V)</f>
        <v>0</v>
      </c>
    </row>
    <row r="14" spans="1:7" ht="14.5" x14ac:dyDescent="0.35">
      <c r="A14" s="7" t="s">
        <v>16</v>
      </c>
      <c r="B14" s="11">
        <f>_xlfn.XLOOKUP(A14,Dataset!A:A,Dataset!G:G)</f>
        <v>21.9</v>
      </c>
      <c r="C14" s="11">
        <f>_xlfn.XLOOKUP(A14,Dataset!A:A,Dataset!N:N)</f>
        <v>61.5</v>
      </c>
      <c r="D14" s="11">
        <f>_xlfn.XLOOKUP(A14,Dataset!A:A,Dataset!R:R)</f>
        <v>40.1</v>
      </c>
      <c r="E14" s="11">
        <f>_xlfn.XLOOKUP(A14,Dataset!A:A,Dataset!T:T)</f>
        <v>76.599999999999994</v>
      </c>
      <c r="F14" s="8">
        <f>_xlfn.XLOOKUP(A14,Dataset!A:A,Dataset!V:V)</f>
        <v>40.1</v>
      </c>
    </row>
    <row r="15" spans="1:7" ht="14.5" x14ac:dyDescent="0.35">
      <c r="A15" s="7" t="s">
        <v>18</v>
      </c>
      <c r="B15" s="11">
        <f>_xlfn.XLOOKUP(A15,Dataset!A:A,Dataset!G:G)</f>
        <v>26.8</v>
      </c>
      <c r="C15" s="11">
        <f>_xlfn.XLOOKUP(A15,Dataset!A:A,Dataset!N:N)</f>
        <v>79.599999999999994</v>
      </c>
      <c r="D15" s="11">
        <f>_xlfn.XLOOKUP(A15,Dataset!A:A,Dataset!R:R)</f>
        <v>47.9</v>
      </c>
      <c r="E15" s="11">
        <f>_xlfn.XLOOKUP(A15,Dataset!A:A,Dataset!T:T)</f>
        <v>96.8</v>
      </c>
      <c r="F15" s="8">
        <f>_xlfn.XLOOKUP(A15,Dataset!A:A,Dataset!V:V)</f>
        <v>47.9</v>
      </c>
    </row>
    <row r="16" spans="1:7" ht="14.5" x14ac:dyDescent="0.35">
      <c r="A16" s="7" t="s">
        <v>20</v>
      </c>
      <c r="B16" s="11">
        <f>_xlfn.XLOOKUP(A16,Dataset!A:A,Dataset!G:G)</f>
        <v>28.5</v>
      </c>
      <c r="C16" s="11">
        <f>_xlfn.XLOOKUP(A16,Dataset!A:A,Dataset!N:N)</f>
        <v>85.4</v>
      </c>
      <c r="D16" s="11">
        <f>_xlfn.XLOOKUP(A16,Dataset!A:A,Dataset!R:R)</f>
        <v>52.3</v>
      </c>
      <c r="E16" s="11">
        <f>_xlfn.XLOOKUP(A16,Dataset!A:A,Dataset!T:T)</f>
        <v>106.1</v>
      </c>
      <c r="F16" s="8">
        <f>_xlfn.XLOOKUP(A16,Dataset!A:A,Dataset!V:V)</f>
        <v>52.3</v>
      </c>
    </row>
    <row r="17" spans="1:6" ht="14.5" x14ac:dyDescent="0.35">
      <c r="A17" s="7" t="s">
        <v>22</v>
      </c>
      <c r="B17" s="11">
        <f>_xlfn.XLOOKUP(A17,Dataset!A:A,Dataset!G:G)</f>
        <v>30.7</v>
      </c>
      <c r="C17" s="11">
        <f>_xlfn.XLOOKUP(A17,Dataset!A:A,Dataset!N:N)</f>
        <v>92.1</v>
      </c>
      <c r="D17" s="11">
        <f>_xlfn.XLOOKUP(A17,Dataset!A:A,Dataset!R:R)</f>
        <v>57</v>
      </c>
      <c r="E17" s="11">
        <f>_xlfn.XLOOKUP(A17,Dataset!A:A,Dataset!T:T)</f>
        <v>115.1</v>
      </c>
      <c r="F17" s="8">
        <f>_xlfn.XLOOKUP(A17,Dataset!A:A,Dataset!V:V)</f>
        <v>57</v>
      </c>
    </row>
    <row r="18" spans="1:6" ht="14.5" x14ac:dyDescent="0.35">
      <c r="A18" s="7" t="s">
        <v>23</v>
      </c>
      <c r="B18" s="11">
        <f>_xlfn.XLOOKUP(A18,Dataset!A:A,Dataset!G:G)</f>
        <v>33.799999999999997</v>
      </c>
      <c r="C18" s="11">
        <f>_xlfn.XLOOKUP(A18,Dataset!A:A,Dataset!N:N)</f>
        <v>101.3</v>
      </c>
      <c r="D18" s="11">
        <f>_xlfn.XLOOKUP(A18,Dataset!A:A,Dataset!R:R)</f>
        <v>61.4</v>
      </c>
      <c r="E18" s="11">
        <f>_xlfn.XLOOKUP(A18,Dataset!A:A,Dataset!T:T)</f>
        <v>124.4</v>
      </c>
      <c r="F18" s="8">
        <f>_xlfn.XLOOKUP(A18,Dataset!A:A,Dataset!V:V)</f>
        <v>61.4</v>
      </c>
    </row>
    <row r="19" spans="1:6" ht="14.5" x14ac:dyDescent="0.35">
      <c r="A19" s="7" t="s">
        <v>24</v>
      </c>
      <c r="B19" s="11">
        <f>_xlfn.XLOOKUP(A19,Dataset!A:A,Dataset!G:G)</f>
        <v>34.700000000000003</v>
      </c>
      <c r="C19" s="11">
        <f>_xlfn.XLOOKUP(A19,Dataset!A:A,Dataset!N:N)</f>
        <v>106.1</v>
      </c>
      <c r="D19" s="11">
        <f>_xlfn.XLOOKUP(A19,Dataset!A:A,Dataset!R:R)</f>
        <v>63.6</v>
      </c>
      <c r="E19" s="11">
        <f>_xlfn.XLOOKUP(A19,Dataset!A:A,Dataset!T:T)</f>
        <v>128.6</v>
      </c>
      <c r="F19" s="8">
        <f>_xlfn.XLOOKUP(A19,Dataset!A:A,Dataset!V:V)</f>
        <v>63.6</v>
      </c>
    </row>
    <row r="20" spans="1:6" ht="14.5" x14ac:dyDescent="0.35">
      <c r="A20" s="7" t="s">
        <v>28</v>
      </c>
      <c r="B20" s="11">
        <f>_xlfn.XLOOKUP(A20,Dataset!A:A,Dataset!G:G)</f>
        <v>0</v>
      </c>
      <c r="C20" s="11">
        <f>_xlfn.XLOOKUP(A20,Dataset!A:A,Dataset!N:N)</f>
        <v>0</v>
      </c>
      <c r="D20" s="11">
        <f>_xlfn.XLOOKUP(A20,Dataset!A:A,Dataset!R:R)</f>
        <v>0</v>
      </c>
      <c r="E20" s="11">
        <f>_xlfn.XLOOKUP(A20,Dataset!A:A,Dataset!T:T)</f>
        <v>0</v>
      </c>
      <c r="F20" s="8">
        <f>_xlfn.XLOOKUP(A20,Dataset!A:A,Dataset!V:V)</f>
        <v>0</v>
      </c>
    </row>
    <row r="21" spans="1:6" ht="14.5" x14ac:dyDescent="0.35">
      <c r="A21" s="7" t="s">
        <v>57</v>
      </c>
      <c r="B21" s="11">
        <f>_xlfn.XLOOKUP(A21,Dataset!A:A,Dataset!G:G)</f>
        <v>41.3</v>
      </c>
      <c r="C21" s="11">
        <f>_xlfn.XLOOKUP(A21,Dataset!A:A,Dataset!N:N)</f>
        <v>124.4</v>
      </c>
      <c r="D21" s="11">
        <f>_xlfn.XLOOKUP(A21,Dataset!A:A,Dataset!R:R)</f>
        <v>75</v>
      </c>
      <c r="E21" s="11">
        <f>_xlfn.XLOOKUP(A21,Dataset!A:A,Dataset!T:T)</f>
        <v>151.5</v>
      </c>
      <c r="F21" s="8">
        <f>_xlfn.XLOOKUP(A21,Dataset!A:A,Dataset!V:V)</f>
        <v>75</v>
      </c>
    </row>
    <row r="22" spans="1:6" ht="14.5" x14ac:dyDescent="0.35">
      <c r="A22" s="7" t="s">
        <v>58</v>
      </c>
      <c r="B22" s="11">
        <f>_xlfn.XLOOKUP(A22,Dataset!A:A,Dataset!G:G)</f>
        <v>-1</v>
      </c>
      <c r="C22" s="11">
        <f>_xlfn.XLOOKUP(A22,Dataset!A:A,Dataset!N:N)</f>
        <v>-1</v>
      </c>
      <c r="D22" s="11">
        <f>_xlfn.XLOOKUP(A22,Dataset!A:A,Dataset!R:R)</f>
        <v>-1</v>
      </c>
      <c r="E22" s="11">
        <f>_xlfn.XLOOKUP(A22,Dataset!A:A,Dataset!T:T)</f>
        <v>-1</v>
      </c>
      <c r="F22" s="8">
        <f>_xlfn.XLOOKUP(A22,Dataset!A:A,Dataset!V:V)</f>
        <v>-1</v>
      </c>
    </row>
    <row r="23" spans="1:6" ht="14.5" x14ac:dyDescent="0.35">
      <c r="A23" s="7" t="s">
        <v>31</v>
      </c>
      <c r="B23" s="11">
        <f>_xlfn.XLOOKUP(A23,Dataset!A:A,Dataset!G:G)</f>
        <v>45</v>
      </c>
      <c r="C23" s="11">
        <f>_xlfn.XLOOKUP(A23,Dataset!A:A,Dataset!N:N)</f>
        <v>133.4</v>
      </c>
      <c r="D23" s="11">
        <f>_xlfn.XLOOKUP(A23,Dataset!A:A,Dataset!R:R)</f>
        <v>79.400000000000006</v>
      </c>
      <c r="E23" s="11">
        <f>_xlfn.XLOOKUP(A23,Dataset!A:A,Dataset!T:T)</f>
        <v>160.9</v>
      </c>
      <c r="F23" s="8">
        <f>_xlfn.XLOOKUP(A23,Dataset!A:A,Dataset!V:V)</f>
        <v>79.400000000000006</v>
      </c>
    </row>
    <row r="24" spans="1:6" ht="14.5" x14ac:dyDescent="0.35">
      <c r="A24" s="7" t="s">
        <v>32</v>
      </c>
      <c r="B24" s="11">
        <f>_xlfn.XLOOKUP(A24,Dataset!A:A,Dataset!G:G)</f>
        <v>-1</v>
      </c>
      <c r="C24" s="11">
        <f>_xlfn.XLOOKUP(A24,Dataset!A:A,Dataset!N:N)</f>
        <v>-1</v>
      </c>
      <c r="D24" s="11">
        <f>_xlfn.XLOOKUP(A24,Dataset!A:A,Dataset!R:R)</f>
        <v>-1</v>
      </c>
      <c r="E24" s="11">
        <f>_xlfn.XLOOKUP(A24,Dataset!A:A,Dataset!T:T)</f>
        <v>-1</v>
      </c>
      <c r="F24" s="8">
        <f>_xlfn.XLOOKUP(A24,Dataset!A:A,Dataset!V:V)</f>
        <v>-1</v>
      </c>
    </row>
    <row r="25" spans="1:6" ht="14.5" x14ac:dyDescent="0.35">
      <c r="A25" s="7" t="s">
        <v>34</v>
      </c>
      <c r="B25" s="11">
        <f>_xlfn.XLOOKUP(A25,Dataset!A:A,Dataset!G:G)</f>
        <v>43.3</v>
      </c>
      <c r="C25" s="11">
        <f>_xlfn.XLOOKUP(A25,Dataset!A:A,Dataset!N:N)</f>
        <v>128.6</v>
      </c>
      <c r="D25" s="11">
        <f>_xlfn.XLOOKUP(A25,Dataset!A:A,Dataset!R:R)</f>
        <v>79.400000000000006</v>
      </c>
      <c r="E25" s="11">
        <f>_xlfn.XLOOKUP(A25,Dataset!A:A,Dataset!T:T)</f>
        <v>160.9</v>
      </c>
      <c r="F25" s="8">
        <f>_xlfn.XLOOKUP(A25,Dataset!A:A,Dataset!V:V)</f>
        <v>79.400000000000006</v>
      </c>
    </row>
    <row r="26" spans="1:6" ht="14.5" x14ac:dyDescent="0.35">
      <c r="A26" s="7" t="s">
        <v>37</v>
      </c>
      <c r="B26" s="11">
        <f>_xlfn.XLOOKUP(A26,Dataset!A:A,Dataset!G:G)</f>
        <v>49.1</v>
      </c>
      <c r="C26" s="11">
        <f>_xlfn.XLOOKUP(A26,Dataset!A:A,Dataset!N:N)</f>
        <v>146.80000000000001</v>
      </c>
      <c r="D26" s="11">
        <f>_xlfn.XLOOKUP(A26,Dataset!A:A,Dataset!R:R)</f>
        <v>90.9</v>
      </c>
      <c r="E26" s="11">
        <f>_xlfn.XLOOKUP(A26,Dataset!A:A,Dataset!T:T)</f>
        <v>183.5</v>
      </c>
      <c r="F26" s="8">
        <f>_xlfn.XLOOKUP(A26,Dataset!A:A,Dataset!V:V)</f>
        <v>90.9</v>
      </c>
    </row>
    <row r="27" spans="1:6" ht="14.5" x14ac:dyDescent="0.35">
      <c r="A27" s="7" t="s">
        <v>39</v>
      </c>
      <c r="B27" s="11">
        <f>_xlfn.XLOOKUP(A27,Dataset!A:A,Dataset!G:G)</f>
        <v>51.8</v>
      </c>
      <c r="C27" s="11">
        <f>_xlfn.XLOOKUP(A27,Dataset!A:A,Dataset!N:N)</f>
        <v>156.4</v>
      </c>
      <c r="D27" s="11">
        <f>_xlfn.XLOOKUP(A27,Dataset!A:A,Dataset!R:R)</f>
        <v>93.1</v>
      </c>
      <c r="E27" s="11">
        <f>_xlfn.XLOOKUP(A27,Dataset!A:A,Dataset!T:T)</f>
        <v>188.1</v>
      </c>
      <c r="F27" s="8">
        <f>_xlfn.XLOOKUP(A27,Dataset!A:A,Dataset!V:V)</f>
        <v>93.1</v>
      </c>
    </row>
    <row r="28" spans="1:6" ht="14.5" x14ac:dyDescent="0.3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1" zoomScaleNormal="100" workbookViewId="0">
      <selection activeCell="C9" sqref="C9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 t="s">
        <v>179</v>
      </c>
    </row>
    <row r="6" spans="1:10" ht="18.5" x14ac:dyDescent="0.45">
      <c r="A6" s="42" t="s">
        <v>153</v>
      </c>
      <c r="B6" s="39" t="s">
        <v>180</v>
      </c>
    </row>
    <row r="7" spans="1:10" ht="18.5" x14ac:dyDescent="0.45">
      <c r="A7" s="42"/>
      <c r="B7" s="39" t="s">
        <v>181</v>
      </c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 t="str">
        <f>LEFT(A16,5)</f>
        <v>20000</v>
      </c>
      <c r="C16" s="1" t="str">
        <f>MID(A16,7,6)</f>
        <v>Monday</v>
      </c>
      <c r="D16" s="11" t="str">
        <f>MID(A16,14,1)</f>
        <v>0</v>
      </c>
      <c r="E16" s="1" t="str">
        <f>MID(A16,16,6)</f>
        <v>Sunday</v>
      </c>
      <c r="F16" s="11" t="str">
        <f>RIGHT(A16,2)</f>
        <v>24</v>
      </c>
    </row>
    <row r="17" spans="1:6" x14ac:dyDescent="0.35">
      <c r="A17" s="7" t="s">
        <v>122</v>
      </c>
      <c r="B17" s="11" t="str">
        <f t="shared" ref="B17:B54" si="0">LEFT(A17,5)</f>
        <v>20002</v>
      </c>
      <c r="C17" s="1" t="str">
        <f t="shared" ref="C17:C54" si="1">MID(A17,7,6)</f>
        <v>Monday</v>
      </c>
      <c r="D17" s="11" t="str">
        <f t="shared" ref="D17:D54" si="2">MID(A17,14,1)</f>
        <v>0</v>
      </c>
      <c r="E17" s="1" t="str">
        <f t="shared" ref="E17:E54" si="3">MID(A17,16,6)</f>
        <v>Sunday</v>
      </c>
      <c r="F17" s="11" t="str">
        <f t="shared" ref="F17:F54" si="4">RIGHT(A17,2)</f>
        <v>24</v>
      </c>
    </row>
    <row r="18" spans="1:6" x14ac:dyDescent="0.35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5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5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5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5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5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5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5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5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5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5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5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5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5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5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5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5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5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5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5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5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5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5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5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5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5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5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5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5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5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5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5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5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5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5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5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5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D11" sqref="D11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178</v>
      </c>
    </row>
    <row r="7" spans="1:3" ht="14.5" x14ac:dyDescent="0.35">
      <c r="A7" s="3" t="s">
        <v>153</v>
      </c>
      <c r="B7" s="1" t="s">
        <v>182</v>
      </c>
    </row>
    <row r="8" spans="1:3" x14ac:dyDescent="0.3">
      <c r="B8" s="2" t="s">
        <v>183</v>
      </c>
    </row>
    <row r="9" spans="1:3" x14ac:dyDescent="0.3">
      <c r="B9" s="2" t="s">
        <v>184</v>
      </c>
    </row>
    <row r="10" spans="1:3" ht="23.5" x14ac:dyDescent="0.55000000000000004">
      <c r="A10" s="17" t="s">
        <v>162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 t="e">
        <v>#N/A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 t="e">
        <v>#N/A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154</v>
      </c>
      <c r="C17" s="16">
        <v>150</v>
      </c>
    </row>
    <row r="18" spans="1:3" ht="14.5" x14ac:dyDescent="0.35">
      <c r="A18" s="31">
        <v>44933</v>
      </c>
      <c r="B18" s="16" t="s">
        <v>155</v>
      </c>
      <c r="C18" s="16">
        <v>80</v>
      </c>
    </row>
    <row r="19" spans="1:3" ht="14.5" x14ac:dyDescent="0.35">
      <c r="A19" s="31">
        <v>44934</v>
      </c>
      <c r="B19" s="16" t="s">
        <v>156</v>
      </c>
      <c r="C19" s="16" t="e">
        <v>#N/A</v>
      </c>
    </row>
    <row r="20" spans="1:3" ht="14.5" x14ac:dyDescent="0.35">
      <c r="A20" s="31">
        <v>44935</v>
      </c>
      <c r="B20" s="16" t="s">
        <v>157</v>
      </c>
      <c r="C20" s="16">
        <v>30</v>
      </c>
    </row>
    <row r="21" spans="1:3" ht="14.5" x14ac:dyDescent="0.35">
      <c r="A21" s="31">
        <v>44936</v>
      </c>
      <c r="B21" s="16" t="s">
        <v>158</v>
      </c>
      <c r="C21" s="16" t="e">
        <v>#N/A</v>
      </c>
    </row>
    <row r="22" spans="1:3" ht="14.5" x14ac:dyDescent="0.35">
      <c r="B22" s="16" t="s">
        <v>159</v>
      </c>
      <c r="C22" s="24">
        <f>COUNTIF(C12:C21,"#N/A")*20+SUMIF(C12:C21,"&lt;&gt;#N/A")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D8" sqref="D8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  <c r="C4" s="2" t="s">
        <v>177</v>
      </c>
    </row>
    <row r="5" spans="1:14" ht="18.5" x14ac:dyDescent="0.45">
      <c r="A5" s="42" t="s">
        <v>153</v>
      </c>
      <c r="B5" s="1" t="s">
        <v>185</v>
      </c>
    </row>
    <row r="6" spans="1:14" ht="14.5" x14ac:dyDescent="0.35">
      <c r="A6" s="3"/>
      <c r="B6" s="1" t="s">
        <v>186</v>
      </c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>
        <f t="shared" ref="C23:C35" si="0">INDEX(Table_A,MATCH(_xlfn.XLOOKUP(A23,ID,Name),Rows,0),MATCH(_xlfn.XLOOKUP(B23,ID,Name),Columns,0))</f>
        <v>95</v>
      </c>
    </row>
    <row r="24" spans="1:14" ht="14.5" x14ac:dyDescent="0.35">
      <c r="A24" s="7">
        <v>10100</v>
      </c>
      <c r="B24" s="11">
        <v>10104</v>
      </c>
      <c r="C24" s="43">
        <f t="shared" si="0"/>
        <v>-1</v>
      </c>
    </row>
    <row r="25" spans="1:14" ht="14.5" x14ac:dyDescent="0.35">
      <c r="A25" s="7">
        <v>10108</v>
      </c>
      <c r="B25" s="11">
        <v>10102</v>
      </c>
      <c r="C25" s="43">
        <f t="shared" si="0"/>
        <v>160</v>
      </c>
    </row>
    <row r="26" spans="1:14" ht="14.5" x14ac:dyDescent="0.35">
      <c r="A26" s="7">
        <v>10100</v>
      </c>
      <c r="B26" s="11">
        <v>10106</v>
      </c>
      <c r="C26" s="43">
        <f t="shared" si="0"/>
        <v>185</v>
      </c>
    </row>
    <row r="27" spans="1:14" ht="14.5" x14ac:dyDescent="0.35">
      <c r="A27" s="7">
        <v>10108</v>
      </c>
      <c r="B27" s="11">
        <v>10110</v>
      </c>
      <c r="C27" s="43">
        <f t="shared" si="0"/>
        <v>50</v>
      </c>
    </row>
    <row r="28" spans="1:14" ht="14.5" x14ac:dyDescent="0.35">
      <c r="A28" s="7">
        <v>10102</v>
      </c>
      <c r="B28" s="11">
        <v>10104</v>
      </c>
      <c r="C28" s="43">
        <f t="shared" si="0"/>
        <v>-1</v>
      </c>
    </row>
    <row r="29" spans="1:14" ht="14.5" x14ac:dyDescent="0.35">
      <c r="A29" s="7">
        <v>10106</v>
      </c>
      <c r="B29" s="11">
        <v>10108</v>
      </c>
      <c r="C29" s="43">
        <f t="shared" si="0"/>
        <v>70</v>
      </c>
    </row>
    <row r="30" spans="1:14" ht="14.5" x14ac:dyDescent="0.35">
      <c r="A30" s="7">
        <v>10102</v>
      </c>
      <c r="B30" s="11">
        <v>10106</v>
      </c>
      <c r="C30" s="43">
        <f t="shared" si="0"/>
        <v>90</v>
      </c>
    </row>
    <row r="31" spans="1:14" ht="14.5" x14ac:dyDescent="0.35">
      <c r="A31" s="7">
        <v>10110</v>
      </c>
      <c r="B31" s="11">
        <v>10114</v>
      </c>
      <c r="C31" s="43">
        <f t="shared" si="0"/>
        <v>180</v>
      </c>
    </row>
    <row r="32" spans="1:14" ht="14.5" x14ac:dyDescent="0.35">
      <c r="A32" s="7">
        <v>10104</v>
      </c>
      <c r="B32" s="11">
        <v>10106</v>
      </c>
      <c r="C32" s="43">
        <f t="shared" si="0"/>
        <v>60</v>
      </c>
    </row>
    <row r="33" spans="1:3" ht="14.5" x14ac:dyDescent="0.35">
      <c r="A33" s="7">
        <v>10110</v>
      </c>
      <c r="B33" s="11">
        <v>10112</v>
      </c>
      <c r="C33" s="43">
        <f t="shared" si="0"/>
        <v>115</v>
      </c>
    </row>
    <row r="34" spans="1:3" ht="14.5" x14ac:dyDescent="0.35">
      <c r="A34" s="7">
        <v>10100</v>
      </c>
      <c r="B34" s="11">
        <v>10114</v>
      </c>
      <c r="C34" s="43">
        <f t="shared" si="0"/>
        <v>480</v>
      </c>
    </row>
    <row r="35" spans="1:3" ht="14.5" x14ac:dyDescent="0.35">
      <c r="A35" s="9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Columns</vt:lpstr>
      <vt:lpstr>ID</vt:lpstr>
      <vt:lpstr>Name</vt:lpstr>
      <vt:lpstr>Rows</vt:lpstr>
      <vt:lpstr>Table_A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Omkar Kabde</cp:lastModifiedBy>
  <dcterms:created xsi:type="dcterms:W3CDTF">2015-02-10T17:33:11Z</dcterms:created>
  <dcterms:modified xsi:type="dcterms:W3CDTF">2023-12-10T17:22:49Z</dcterms:modified>
</cp:coreProperties>
</file>